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The Hong Kong Polytechnic University\Documents\School\oldExcel\"/>
    </mc:Choice>
  </mc:AlternateContent>
  <xr:revisionPtr revIDLastSave="0" documentId="13_ncr:1_{C926413F-D8B6-47D1-8483-F3DA4A2DE5DC}" xr6:coauthVersionLast="47" xr6:coauthVersionMax="47" xr10:uidLastSave="{00000000-0000-0000-0000-000000000000}"/>
  <bookViews>
    <workbookView xWindow="-28920" yWindow="-3135" windowWidth="29040" windowHeight="15720" activeTab="2" xr2:uid="{00000000-000D-0000-FFFF-FFFF00000000}"/>
  </bookViews>
  <sheets>
    <sheet name="ColumnsRef" sheetId="7" r:id="rId1"/>
    <sheet name="Temp_Old" sheetId="8" r:id="rId2"/>
    <sheet name="Extractor" sheetId="3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6" i="37" l="1"/>
  <c r="A15" i="37"/>
  <c r="A10" i="37"/>
  <c r="A15" i="8"/>
  <c r="A10" i="8"/>
</calcChain>
</file>

<file path=xl/sharedStrings.xml><?xml version="1.0" encoding="utf-8"?>
<sst xmlns="http://schemas.openxmlformats.org/spreadsheetml/2006/main" count="98" uniqueCount="55">
  <si>
    <t>A</t>
  </si>
  <si>
    <t>B</t>
  </si>
  <si>
    <t>C</t>
  </si>
  <si>
    <t>D</t>
  </si>
  <si>
    <t>E</t>
  </si>
  <si>
    <t>F</t>
  </si>
  <si>
    <t>G</t>
  </si>
  <si>
    <t>H</t>
  </si>
  <si>
    <t>I</t>
  </si>
  <si>
    <t>Frequency</t>
  </si>
  <si>
    <t>Intensity S11</t>
  </si>
  <si>
    <t>Phase S11</t>
  </si>
  <si>
    <t>Intensity S21</t>
  </si>
  <si>
    <t>Phase S21</t>
  </si>
  <si>
    <t>Intensity S12</t>
  </si>
  <si>
    <t>Phase S12</t>
  </si>
  <si>
    <t>Intensity S22</t>
  </si>
  <si>
    <t>Phase S22</t>
  </si>
  <si>
    <t>DataFile:</t>
  </si>
  <si>
    <t>Sum</t>
  </si>
  <si>
    <t>Directory</t>
  </si>
  <si>
    <t>FileName</t>
  </si>
  <si>
    <t>Extracting Column:</t>
  </si>
  <si>
    <t>Extracting Data:</t>
  </si>
  <si>
    <t>Number of Sets</t>
  </si>
  <si>
    <r>
      <t xml:space="preserve">Freq </t>
    </r>
    <r>
      <rPr>
        <vertAlign val="superscript"/>
        <sz val="20"/>
        <color theme="1"/>
        <rFont val="Calibri"/>
        <family val="2"/>
        <scheme val="minor"/>
      </rPr>
      <t>Data</t>
    </r>
  </si>
  <si>
    <t>Ended at 81</t>
  </si>
  <si>
    <t>Q:\VictorNAS\202021\COMSOL_Test\Exp\YIG Only\2021.9.28\vertical2horizontal1.3mmYIG.8Cells</t>
  </si>
  <si>
    <t>Extract mode:</t>
  </si>
  <si>
    <t>Ending Data Point</t>
  </si>
  <si>
    <t>Starting Data Point</t>
  </si>
  <si>
    <t>Number of rows</t>
  </si>
  <si>
    <t>Displacement start</t>
  </si>
  <si>
    <t>Displacement step</t>
  </si>
  <si>
    <t>Frequency start</t>
  </si>
  <si>
    <t>Frequency step</t>
  </si>
  <si>
    <t>Step multiplier</t>
  </si>
  <si>
    <t>File name</t>
  </si>
  <si>
    <t>3238640000.xlsx</t>
  </si>
  <si>
    <t>Max S11</t>
  </si>
  <si>
    <t>Max S21</t>
  </si>
  <si>
    <t>Max S12</t>
  </si>
  <si>
    <t>Max S22</t>
  </si>
  <si>
    <t>Freq</t>
  </si>
  <si>
    <t>Modulus</t>
  </si>
  <si>
    <t>Modulus^2</t>
  </si>
  <si>
    <t>Normalized
Modulus^2</t>
  </si>
  <si>
    <t>Average
Imaginary</t>
  </si>
  <si>
    <t>Average
Real</t>
  </si>
  <si>
    <t>Normalized
Modulus difference</t>
  </si>
  <si>
    <t>Normalized
Modulus^2 difference</t>
  </si>
  <si>
    <t>Modulus difference</t>
  </si>
  <si>
    <t>Modulus^2 difference</t>
  </si>
  <si>
    <t>Ended at 28</t>
  </si>
  <si>
    <t>Trimmed freq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</si>
</sst>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20"/>
      <color theme="1"/>
      <name val="Calibri"/>
      <family val="2"/>
      <scheme val="minor"/>
    </font>
    <font>
      <vertAlign val="superscript"/>
      <sz val="20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 diagonalDown="1">
      <left/>
      <right/>
      <top/>
      <bottom/>
      <diagonal style="thin">
        <color auto="1"/>
      </diagonal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0" fontId="18" fillId="0" borderId="10" xfId="0" applyFont="1" applyBorder="1"/>
    <xf numFmtId="0" fontId="0" fillId="33" borderId="0" xfId="0" applyFill="1"/>
    <xf numFmtId="0" fontId="0" fillId="34" borderId="0" xfId="0" applyFill="1"/>
    <xf numFmtId="0" fontId="0" fillId="0" borderId="0" xfId="0" quotePrefix="1"/>
    <xf numFmtId="0" fontId="0" fillId="35" borderId="0" xfId="0" applyFill="1"/>
    <xf numFmtId="11" fontId="0" fillId="35" borderId="0" xfId="0" applyNumberFormat="1" applyFill="1"/>
    <xf numFmtId="0" fontId="0" fillId="36" borderId="0" xfId="0" applyFill="1"/>
    <xf numFmtId="0" fontId="0" fillId="0" borderId="0" xfId="0" applyFill="1"/>
    <xf numFmtId="0" fontId="0" fillId="37" borderId="0" xfId="0" applyFill="1"/>
    <xf numFmtId="0" fontId="0" fillId="0" borderId="0" xfId="0" applyAlignment="1">
      <alignment wrapText="1"/>
    </xf>
    <xf numFmtId="0" fontId="0" fillId="33" borderId="0" xfId="0" applyFill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28575</xdr:rowOff>
        </xdr:from>
        <xdr:to>
          <xdr:col>0</xdr:col>
          <xdr:colOff>1190625</xdr:colOff>
          <xdr:row>3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638175</xdr:colOff>
          <xdr:row>0</xdr:row>
          <xdr:rowOff>323850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0</xdr:row>
          <xdr:rowOff>352425</xdr:rowOff>
        </xdr:from>
        <xdr:to>
          <xdr:col>0</xdr:col>
          <xdr:colOff>1123950</xdr:colOff>
          <xdr:row>1</xdr:row>
          <xdr:rowOff>171450</xdr:rowOff>
        </xdr:to>
        <xdr:sp macro="" textlink="">
          <xdr:nvSpPr>
            <xdr:cNvPr id="31746" name="CommandButton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342900</xdr:rowOff>
        </xdr:from>
        <xdr:to>
          <xdr:col>0</xdr:col>
          <xdr:colOff>657225</xdr:colOff>
          <xdr:row>1</xdr:row>
          <xdr:rowOff>161925</xdr:rowOff>
        </xdr:to>
        <xdr:sp macro="" textlink="">
          <xdr:nvSpPr>
            <xdr:cNvPr id="31747" name="CommandButton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695325</xdr:colOff>
          <xdr:row>0</xdr:row>
          <xdr:rowOff>28575</xdr:rowOff>
        </xdr:from>
        <xdr:to>
          <xdr:col>0</xdr:col>
          <xdr:colOff>1171575</xdr:colOff>
          <xdr:row>0</xdr:row>
          <xdr:rowOff>314325</xdr:rowOff>
        </xdr:to>
        <xdr:sp macro="" textlink="">
          <xdr:nvSpPr>
            <xdr:cNvPr id="31749" name="CommandButton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30</xdr:row>
          <xdr:rowOff>38100</xdr:rowOff>
        </xdr:from>
        <xdr:to>
          <xdr:col>0</xdr:col>
          <xdr:colOff>981075</xdr:colOff>
          <xdr:row>31</xdr:row>
          <xdr:rowOff>114300</xdr:rowOff>
        </xdr:to>
        <xdr:sp macro="" textlink="">
          <xdr:nvSpPr>
            <xdr:cNvPr id="31750" name="CommandButton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171450</xdr:rowOff>
        </xdr:from>
        <xdr:to>
          <xdr:col>0</xdr:col>
          <xdr:colOff>942975</xdr:colOff>
          <xdr:row>33</xdr:row>
          <xdr:rowOff>85725</xdr:rowOff>
        </xdr:to>
        <xdr:sp macro="" textlink="">
          <xdr:nvSpPr>
            <xdr:cNvPr id="31751" name="CommandButton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2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48</xdr:row>
          <xdr:rowOff>114300</xdr:rowOff>
        </xdr:from>
        <xdr:to>
          <xdr:col>0</xdr:col>
          <xdr:colOff>1171575</xdr:colOff>
          <xdr:row>51</xdr:row>
          <xdr:rowOff>38100</xdr:rowOff>
        </xdr:to>
        <xdr:sp macro="" textlink="">
          <xdr:nvSpPr>
            <xdr:cNvPr id="31752" name="CommandButton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</xdr:row>
          <xdr:rowOff>123825</xdr:rowOff>
        </xdr:from>
        <xdr:to>
          <xdr:col>0</xdr:col>
          <xdr:colOff>1019175</xdr:colOff>
          <xdr:row>53</xdr:row>
          <xdr:rowOff>38100</xdr:rowOff>
        </xdr:to>
        <xdr:sp macro="" textlink="">
          <xdr:nvSpPr>
            <xdr:cNvPr id="31753" name="CommandButton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8EAC4-8815-493D-88DB-59C75D0A9CD4}">
  <sheetPr codeName="Sheet2"/>
  <dimension ref="A1:J17"/>
  <sheetViews>
    <sheetView workbookViewId="0">
      <selection activeCell="J18" sqref="J18"/>
    </sheetView>
  </sheetViews>
  <sheetFormatPr defaultRowHeight="15" x14ac:dyDescent="0.25"/>
  <cols>
    <col min="2" max="9" width="12.28515625" bestFit="1" customWidth="1"/>
    <col min="10" max="10" width="11.28515625" bestFit="1" customWidth="1"/>
  </cols>
  <sheetData>
    <row r="1" spans="1:10" x14ac:dyDescent="0.25">
      <c r="A1" t="s">
        <v>0</v>
      </c>
      <c r="B1" t="s">
        <v>9</v>
      </c>
    </row>
    <row r="2" spans="1:10" x14ac:dyDescent="0.25">
      <c r="A2" t="s">
        <v>1</v>
      </c>
      <c r="B2" t="s">
        <v>10</v>
      </c>
    </row>
    <row r="3" spans="1:10" x14ac:dyDescent="0.25">
      <c r="A3" t="s">
        <v>2</v>
      </c>
      <c r="B3" t="s">
        <v>11</v>
      </c>
    </row>
    <row r="4" spans="1:10" x14ac:dyDescent="0.25">
      <c r="A4" t="s">
        <v>3</v>
      </c>
      <c r="B4" t="s">
        <v>12</v>
      </c>
    </row>
    <row r="5" spans="1:10" x14ac:dyDescent="0.25">
      <c r="A5" t="s">
        <v>4</v>
      </c>
      <c r="B5" t="s">
        <v>13</v>
      </c>
    </row>
    <row r="6" spans="1:10" x14ac:dyDescent="0.25">
      <c r="A6" t="s">
        <v>5</v>
      </c>
      <c r="B6" t="s">
        <v>14</v>
      </c>
    </row>
    <row r="7" spans="1:10" x14ac:dyDescent="0.25">
      <c r="A7" t="s">
        <v>6</v>
      </c>
      <c r="B7" t="s">
        <v>15</v>
      </c>
    </row>
    <row r="8" spans="1:10" x14ac:dyDescent="0.25">
      <c r="A8" t="s">
        <v>7</v>
      </c>
      <c r="B8" t="s">
        <v>16</v>
      </c>
    </row>
    <row r="9" spans="1:10" x14ac:dyDescent="0.25">
      <c r="A9" t="s">
        <v>8</v>
      </c>
      <c r="B9" t="s">
        <v>17</v>
      </c>
    </row>
    <row r="11" spans="1:10" x14ac:dyDescent="0.25">
      <c r="B11" t="s">
        <v>9</v>
      </c>
      <c r="C11" t="s">
        <v>10</v>
      </c>
      <c r="D11" t="s">
        <v>11</v>
      </c>
      <c r="E11" t="s">
        <v>12</v>
      </c>
      <c r="F11" t="s">
        <v>13</v>
      </c>
      <c r="G11" t="s">
        <v>14</v>
      </c>
      <c r="H11" t="s">
        <v>15</v>
      </c>
      <c r="I11" t="s">
        <v>16</v>
      </c>
      <c r="J11" t="s">
        <v>17</v>
      </c>
    </row>
    <row r="14" spans="1:10" x14ac:dyDescent="0.25">
      <c r="A14" t="s">
        <v>9</v>
      </c>
      <c r="B14" t="s">
        <v>10</v>
      </c>
      <c r="C14" t="s">
        <v>11</v>
      </c>
      <c r="D14" t="s">
        <v>12</v>
      </c>
      <c r="E14" t="s">
        <v>13</v>
      </c>
      <c r="F14" t="s">
        <v>14</v>
      </c>
      <c r="G14" t="s">
        <v>15</v>
      </c>
      <c r="H14" t="s">
        <v>16</v>
      </c>
      <c r="I14" t="s">
        <v>17</v>
      </c>
    </row>
    <row r="17" spans="1:10" ht="45" x14ac:dyDescent="0.25">
      <c r="A17" t="s">
        <v>43</v>
      </c>
      <c r="B17" s="11" t="s">
        <v>48</v>
      </c>
      <c r="C17" s="11" t="s">
        <v>47</v>
      </c>
      <c r="D17" t="s">
        <v>44</v>
      </c>
      <c r="E17" t="s">
        <v>45</v>
      </c>
      <c r="F17" s="11" t="s">
        <v>46</v>
      </c>
      <c r="G17" s="11" t="s">
        <v>51</v>
      </c>
      <c r="H17" s="11" t="s">
        <v>49</v>
      </c>
      <c r="I17" s="11" t="s">
        <v>52</v>
      </c>
      <c r="J17" s="11" t="s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E8C5-12C1-4B33-ACFE-9A7E831D81DF}">
  <sheetPr codeName="Sheet1"/>
  <dimension ref="A1:E972"/>
  <sheetViews>
    <sheetView workbookViewId="0">
      <selection activeCell="A8" sqref="A8"/>
    </sheetView>
  </sheetViews>
  <sheetFormatPr defaultRowHeight="15" x14ac:dyDescent="0.25"/>
  <cols>
    <col min="1" max="1" width="18.7109375" customWidth="1"/>
    <col min="2" max="2" width="3.28515625" customWidth="1"/>
    <col min="3" max="3" width="11.28515625" customWidth="1"/>
    <col min="4" max="4" width="11.85546875" customWidth="1"/>
  </cols>
  <sheetData>
    <row r="1" spans="1:4" ht="30.75" customHeight="1" x14ac:dyDescent="0.55000000000000004">
      <c r="C1" t="s">
        <v>19</v>
      </c>
      <c r="D1" s="2" t="s">
        <v>25</v>
      </c>
    </row>
    <row r="5" spans="1:4" x14ac:dyDescent="0.25">
      <c r="A5" t="s">
        <v>18</v>
      </c>
    </row>
    <row r="6" spans="1:4" x14ac:dyDescent="0.25">
      <c r="A6" t="s">
        <v>26</v>
      </c>
    </row>
    <row r="7" spans="1:4" x14ac:dyDescent="0.25">
      <c r="A7" t="s">
        <v>20</v>
      </c>
    </row>
    <row r="8" spans="1:4" x14ac:dyDescent="0.25">
      <c r="A8" s="3" t="s">
        <v>27</v>
      </c>
    </row>
    <row r="9" spans="1:4" x14ac:dyDescent="0.25">
      <c r="A9" t="s">
        <v>21</v>
      </c>
    </row>
    <row r="10" spans="1:4" x14ac:dyDescent="0.25">
      <c r="A10" s="4" t="str">
        <f>CONCATENATE("data",A6,".csv")</f>
        <v>dataEnded at 81.csv</v>
      </c>
    </row>
    <row r="12" spans="1:4" x14ac:dyDescent="0.25">
      <c r="A12" t="s">
        <v>23</v>
      </c>
    </row>
    <row r="13" spans="1:4" x14ac:dyDescent="0.25">
      <c r="A13" s="3" t="s">
        <v>12</v>
      </c>
    </row>
    <row r="14" spans="1:4" x14ac:dyDescent="0.25">
      <c r="A14" t="s">
        <v>22</v>
      </c>
    </row>
    <row r="15" spans="1:4" x14ac:dyDescent="0.25">
      <c r="A15">
        <f>VLOOKUP(A13,A22:B30,2,FALSE)</f>
        <v>4</v>
      </c>
    </row>
    <row r="17" spans="1:2" x14ac:dyDescent="0.25">
      <c r="A17" t="s">
        <v>24</v>
      </c>
    </row>
    <row r="18" spans="1:2" x14ac:dyDescent="0.25">
      <c r="A18" s="3">
        <v>81</v>
      </c>
    </row>
    <row r="22" spans="1:2" x14ac:dyDescent="0.25">
      <c r="A22" t="s">
        <v>9</v>
      </c>
      <c r="B22">
        <v>1</v>
      </c>
    </row>
    <row r="23" spans="1:2" x14ac:dyDescent="0.25">
      <c r="A23" t="s">
        <v>10</v>
      </c>
      <c r="B23">
        <v>2</v>
      </c>
    </row>
    <row r="24" spans="1:2" x14ac:dyDescent="0.25">
      <c r="A24" t="s">
        <v>11</v>
      </c>
      <c r="B24">
        <v>3</v>
      </c>
    </row>
    <row r="25" spans="1:2" x14ac:dyDescent="0.25">
      <c r="A25" t="s">
        <v>12</v>
      </c>
      <c r="B25">
        <v>4</v>
      </c>
    </row>
    <row r="26" spans="1:2" x14ac:dyDescent="0.25">
      <c r="A26" t="s">
        <v>13</v>
      </c>
      <c r="B26">
        <v>5</v>
      </c>
    </row>
    <row r="27" spans="1:2" x14ac:dyDescent="0.25">
      <c r="A27" t="s">
        <v>14</v>
      </c>
      <c r="B27">
        <v>6</v>
      </c>
    </row>
    <row r="28" spans="1:2" x14ac:dyDescent="0.25">
      <c r="A28" t="s">
        <v>15</v>
      </c>
      <c r="B28">
        <v>7</v>
      </c>
    </row>
    <row r="29" spans="1:2" x14ac:dyDescent="0.25">
      <c r="A29" t="s">
        <v>16</v>
      </c>
      <c r="B29">
        <v>8</v>
      </c>
    </row>
    <row r="30" spans="1:2" x14ac:dyDescent="0.25">
      <c r="A30" t="s">
        <v>17</v>
      </c>
      <c r="B30">
        <v>9</v>
      </c>
    </row>
    <row r="802" spans="5:5" x14ac:dyDescent="0.25">
      <c r="E802" s="1"/>
    </row>
    <row r="969" spans="5:5" x14ac:dyDescent="0.25">
      <c r="E969" s="1"/>
    </row>
    <row r="970" spans="5:5" x14ac:dyDescent="0.25">
      <c r="E970" s="1"/>
    </row>
    <row r="971" spans="5:5" x14ac:dyDescent="0.25">
      <c r="E971" s="1"/>
    </row>
    <row r="972" spans="5:5" x14ac:dyDescent="0.25">
      <c r="E972" s="1"/>
    </row>
  </sheetData>
  <dataValidations count="1">
    <dataValidation type="list" showInputMessage="1" showErrorMessage="1" sqref="A13" xr:uid="{C8BCDF1F-62C9-4CF4-9317-CC0A04FCCBEE}">
      <formula1>$A$22:$A$30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76200</xdr:colOff>
                <xdr:row>1</xdr:row>
                <xdr:rowOff>28575</xdr:rowOff>
              </from>
              <to>
                <xdr:col>0</xdr:col>
                <xdr:colOff>1190625</xdr:colOff>
                <xdr:row>3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CED39-BFA3-4301-B9DB-F183E1F3EF79}">
  <sheetPr codeName="Sheet3"/>
  <dimension ref="A1:AU972"/>
  <sheetViews>
    <sheetView tabSelected="1" workbookViewId="0">
      <selection activeCell="A8" sqref="A8"/>
    </sheetView>
  </sheetViews>
  <sheetFormatPr defaultRowHeight="15" x14ac:dyDescent="0.25"/>
  <cols>
    <col min="1" max="1" width="18.7109375" customWidth="1"/>
    <col min="2" max="2" width="5" customWidth="1"/>
    <col min="3" max="3" width="11.28515625" customWidth="1"/>
    <col min="4" max="4" width="11" customWidth="1"/>
    <col min="5" max="5" width="9.140625" style="6"/>
  </cols>
  <sheetData>
    <row r="1" spans="1:47" ht="33.75" customHeight="1" x14ac:dyDescent="0.25"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</row>
    <row r="3" spans="1:47" x14ac:dyDescent="0.25">
      <c r="A3" t="s">
        <v>28</v>
      </c>
    </row>
    <row r="4" spans="1:47" x14ac:dyDescent="0.25">
      <c r="A4" s="3">
        <v>2</v>
      </c>
    </row>
    <row r="5" spans="1:47" x14ac:dyDescent="0.25">
      <c r="A5" t="s">
        <v>18</v>
      </c>
    </row>
    <row r="6" spans="1:47" x14ac:dyDescent="0.25">
      <c r="A6" t="s">
        <v>53</v>
      </c>
    </row>
    <row r="7" spans="1:47" x14ac:dyDescent="0.25">
      <c r="A7" t="s">
        <v>20</v>
      </c>
    </row>
    <row r="8" spans="1:47" x14ac:dyDescent="0.25">
      <c r="A8" s="12"/>
    </row>
    <row r="9" spans="1:47" x14ac:dyDescent="0.25">
      <c r="A9" t="s">
        <v>21</v>
      </c>
    </row>
    <row r="10" spans="1:47" x14ac:dyDescent="0.25">
      <c r="A10" s="4" t="str">
        <f>CONCATENATE("data",A6,".csv")</f>
        <v>dataEnded at 28.csv</v>
      </c>
    </row>
    <row r="12" spans="1:47" x14ac:dyDescent="0.25">
      <c r="A12" t="s">
        <v>23</v>
      </c>
    </row>
    <row r="13" spans="1:47" x14ac:dyDescent="0.25">
      <c r="A13" s="3" t="s">
        <v>10</v>
      </c>
    </row>
    <row r="14" spans="1:47" x14ac:dyDescent="0.25">
      <c r="A14" t="s">
        <v>22</v>
      </c>
    </row>
    <row r="15" spans="1:47" x14ac:dyDescent="0.25">
      <c r="A15">
        <f>VLOOKUP(A13,A22:B30,2,FALSE)</f>
        <v>2</v>
      </c>
    </row>
    <row r="17" spans="1:2" x14ac:dyDescent="0.25">
      <c r="A17" t="s">
        <v>29</v>
      </c>
    </row>
    <row r="18" spans="1:2" x14ac:dyDescent="0.25">
      <c r="A18" s="3">
        <v>28</v>
      </c>
    </row>
    <row r="19" spans="1:2" x14ac:dyDescent="0.25">
      <c r="A19" t="s">
        <v>30</v>
      </c>
    </row>
    <row r="20" spans="1:2" x14ac:dyDescent="0.25">
      <c r="A20" s="3">
        <v>14</v>
      </c>
    </row>
    <row r="22" spans="1:2" x14ac:dyDescent="0.25">
      <c r="A22" t="s">
        <v>9</v>
      </c>
      <c r="B22">
        <v>1</v>
      </c>
    </row>
    <row r="23" spans="1:2" x14ac:dyDescent="0.25">
      <c r="A23" t="s">
        <v>10</v>
      </c>
      <c r="B23">
        <v>2</v>
      </c>
    </row>
    <row r="24" spans="1:2" x14ac:dyDescent="0.25">
      <c r="A24" t="s">
        <v>11</v>
      </c>
      <c r="B24">
        <v>3</v>
      </c>
    </row>
    <row r="25" spans="1:2" x14ac:dyDescent="0.25">
      <c r="A25" t="s">
        <v>12</v>
      </c>
      <c r="B25">
        <v>4</v>
      </c>
    </row>
    <row r="26" spans="1:2" x14ac:dyDescent="0.25">
      <c r="A26" t="s">
        <v>13</v>
      </c>
      <c r="B26">
        <v>5</v>
      </c>
    </row>
    <row r="27" spans="1:2" x14ac:dyDescent="0.25">
      <c r="A27" t="s">
        <v>14</v>
      </c>
      <c r="B27">
        <v>6</v>
      </c>
    </row>
    <row r="28" spans="1:2" x14ac:dyDescent="0.25">
      <c r="A28" t="s">
        <v>15</v>
      </c>
      <c r="B28">
        <v>7</v>
      </c>
    </row>
    <row r="29" spans="1:2" x14ac:dyDescent="0.25">
      <c r="A29" t="s">
        <v>16</v>
      </c>
      <c r="B29">
        <v>8</v>
      </c>
    </row>
    <row r="30" spans="1:2" x14ac:dyDescent="0.25">
      <c r="A30" t="s">
        <v>17</v>
      </c>
      <c r="B30">
        <v>9</v>
      </c>
    </row>
    <row r="35" spans="1:3" x14ac:dyDescent="0.25">
      <c r="A35" s="10" t="s">
        <v>31</v>
      </c>
    </row>
    <row r="36" spans="1:3" x14ac:dyDescent="0.25">
      <c r="A36">
        <v>351</v>
      </c>
    </row>
    <row r="37" spans="1:3" x14ac:dyDescent="0.25">
      <c r="A37" s="8" t="s">
        <v>32</v>
      </c>
    </row>
    <row r="38" spans="1:3" x14ac:dyDescent="0.25">
      <c r="A38">
        <v>10</v>
      </c>
    </row>
    <row r="39" spans="1:3" x14ac:dyDescent="0.25">
      <c r="A39" s="8" t="s">
        <v>33</v>
      </c>
    </row>
    <row r="40" spans="1:3" x14ac:dyDescent="0.25">
      <c r="A40">
        <v>1</v>
      </c>
      <c r="C40" s="1"/>
    </row>
    <row r="41" spans="1:3" x14ac:dyDescent="0.25">
      <c r="A41" s="9" t="s">
        <v>34</v>
      </c>
      <c r="C41" s="1"/>
    </row>
    <row r="42" spans="1:3" x14ac:dyDescent="0.25">
      <c r="A42">
        <v>3000000000</v>
      </c>
    </row>
    <row r="43" spans="1:3" x14ac:dyDescent="0.25">
      <c r="A43" s="9" t="s">
        <v>35</v>
      </c>
    </row>
    <row r="44" spans="1:3" x14ac:dyDescent="0.25">
      <c r="A44">
        <v>10000000</v>
      </c>
    </row>
    <row r="45" spans="1:3" x14ac:dyDescent="0.25">
      <c r="A45" s="9" t="s">
        <v>36</v>
      </c>
    </row>
    <row r="46" spans="1:3" x14ac:dyDescent="0.25">
      <c r="A46" t="str">
        <f>A6</f>
        <v>Ended at 28</v>
      </c>
    </row>
    <row r="47" spans="1:3" x14ac:dyDescent="0.25">
      <c r="A47" s="9" t="s">
        <v>37</v>
      </c>
    </row>
    <row r="48" spans="1:3" x14ac:dyDescent="0.25">
      <c r="A48" t="s">
        <v>38</v>
      </c>
    </row>
    <row r="57" spans="1:1" x14ac:dyDescent="0.25">
      <c r="A57" t="s">
        <v>39</v>
      </c>
    </row>
    <row r="58" spans="1:1" x14ac:dyDescent="0.25">
      <c r="A58">
        <v>0.650756</v>
      </c>
    </row>
    <row r="59" spans="1:1" x14ac:dyDescent="0.25">
      <c r="A59" t="s">
        <v>40</v>
      </c>
    </row>
    <row r="60" spans="1:1" x14ac:dyDescent="0.25">
      <c r="A60">
        <v>8.4166599999999994E-3</v>
      </c>
    </row>
    <row r="61" spans="1:1" x14ac:dyDescent="0.25">
      <c r="A61" t="s">
        <v>41</v>
      </c>
    </row>
    <row r="62" spans="1:1" x14ac:dyDescent="0.25">
      <c r="A62">
        <v>8.2657200000000007E-3</v>
      </c>
    </row>
    <row r="63" spans="1:1" x14ac:dyDescent="0.25">
      <c r="A63" t="s">
        <v>42</v>
      </c>
    </row>
    <row r="64" spans="1:1" x14ac:dyDescent="0.25">
      <c r="A64">
        <v>0.48701299999999997</v>
      </c>
    </row>
    <row r="67" spans="1:1" x14ac:dyDescent="0.25">
      <c r="A67" t="s">
        <v>54</v>
      </c>
    </row>
    <row r="68" spans="1:1" x14ac:dyDescent="0.25">
      <c r="A68">
        <v>5750000000</v>
      </c>
    </row>
    <row r="802" spans="5:5" x14ac:dyDescent="0.25">
      <c r="E802" s="7"/>
    </row>
    <row r="969" spans="5:5" x14ac:dyDescent="0.25">
      <c r="E969" s="7"/>
    </row>
    <row r="970" spans="5:5" x14ac:dyDescent="0.25">
      <c r="E970" s="7"/>
    </row>
    <row r="971" spans="5:5" x14ac:dyDescent="0.25">
      <c r="E971" s="7"/>
    </row>
    <row r="972" spans="5:5" x14ac:dyDescent="0.25">
      <c r="E972" s="7"/>
    </row>
  </sheetData>
  <dataValidations count="2">
    <dataValidation type="list" showInputMessage="1" showErrorMessage="1" sqref="A13" xr:uid="{86A11176-BBA8-4B57-BE60-C43EC6F4D4C3}">
      <formula1>$A$22:$A$30</formula1>
    </dataValidation>
    <dataValidation type="list" allowBlank="1" showInputMessage="1" showErrorMessage="1" sqref="A4" xr:uid="{5AAAB0F2-49B5-4235-B5E5-1F7BE1970FF3}">
      <formula1>"1,2"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1753" r:id="rId4" name="CommandButton8">
          <controlPr defaultSize="0" autoLine="0" r:id="rId5">
            <anchor moveWithCells="1">
              <from>
                <xdr:col>0</xdr:col>
                <xdr:colOff>114300</xdr:colOff>
                <xdr:row>51</xdr:row>
                <xdr:rowOff>123825</xdr:rowOff>
              </from>
              <to>
                <xdr:col>0</xdr:col>
                <xdr:colOff>1019175</xdr:colOff>
                <xdr:row>53</xdr:row>
                <xdr:rowOff>38100</xdr:rowOff>
              </to>
            </anchor>
          </controlPr>
        </control>
      </mc:Choice>
      <mc:Fallback>
        <control shapeId="31753" r:id="rId4" name="CommandButton8"/>
      </mc:Fallback>
    </mc:AlternateContent>
    <mc:AlternateContent xmlns:mc="http://schemas.openxmlformats.org/markup-compatibility/2006">
      <mc:Choice Requires="x14">
        <control shapeId="31752" r:id="rId6" name="CommandButton7">
          <controlPr defaultSize="0" autoLine="0" autoPict="0" r:id="rId7">
            <anchor moveWithCells="1">
              <from>
                <xdr:col>0</xdr:col>
                <xdr:colOff>38100</xdr:colOff>
                <xdr:row>48</xdr:row>
                <xdr:rowOff>114300</xdr:rowOff>
              </from>
              <to>
                <xdr:col>0</xdr:col>
                <xdr:colOff>1171575</xdr:colOff>
                <xdr:row>51</xdr:row>
                <xdr:rowOff>38100</xdr:rowOff>
              </to>
            </anchor>
          </controlPr>
        </control>
      </mc:Choice>
      <mc:Fallback>
        <control shapeId="31752" r:id="rId6" name="CommandButton7"/>
      </mc:Fallback>
    </mc:AlternateContent>
    <mc:AlternateContent xmlns:mc="http://schemas.openxmlformats.org/markup-compatibility/2006">
      <mc:Choice Requires="x14">
        <control shapeId="31751" r:id="rId8" name="CommandButton6">
          <controlPr defaultSize="0" autoLine="0" r:id="rId9">
            <anchor moveWithCells="1">
              <from>
                <xdr:col>0</xdr:col>
                <xdr:colOff>38100</xdr:colOff>
                <xdr:row>31</xdr:row>
                <xdr:rowOff>171450</xdr:rowOff>
              </from>
              <to>
                <xdr:col>0</xdr:col>
                <xdr:colOff>942975</xdr:colOff>
                <xdr:row>33</xdr:row>
                <xdr:rowOff>85725</xdr:rowOff>
              </to>
            </anchor>
          </controlPr>
        </control>
      </mc:Choice>
      <mc:Fallback>
        <control shapeId="31751" r:id="rId8" name="CommandButton6"/>
      </mc:Fallback>
    </mc:AlternateContent>
    <mc:AlternateContent xmlns:mc="http://schemas.openxmlformats.org/markup-compatibility/2006">
      <mc:Choice Requires="x14">
        <control shapeId="31749" r:id="rId10" name="CommandButton4">
          <controlPr defaultSize="0" autoLine="0" r:id="rId11">
            <anchor moveWithCells="1">
              <from>
                <xdr:col>0</xdr:col>
                <xdr:colOff>695325</xdr:colOff>
                <xdr:row>0</xdr:row>
                <xdr:rowOff>28575</xdr:rowOff>
              </from>
              <to>
                <xdr:col>0</xdr:col>
                <xdr:colOff>1171575</xdr:colOff>
                <xdr:row>0</xdr:row>
                <xdr:rowOff>314325</xdr:rowOff>
              </to>
            </anchor>
          </controlPr>
        </control>
      </mc:Choice>
      <mc:Fallback>
        <control shapeId="31749" r:id="rId10" name="CommandButton4"/>
      </mc:Fallback>
    </mc:AlternateContent>
    <mc:AlternateContent xmlns:mc="http://schemas.openxmlformats.org/markup-compatibility/2006">
      <mc:Choice Requires="x14">
        <control shapeId="31747" r:id="rId12" name="CommandButton3">
          <controlPr defaultSize="0" autoLine="0" r:id="rId13">
            <anchor moveWithCells="1">
              <from>
                <xdr:col>0</xdr:col>
                <xdr:colOff>9525</xdr:colOff>
                <xdr:row>0</xdr:row>
                <xdr:rowOff>342900</xdr:rowOff>
              </from>
              <to>
                <xdr:col>0</xdr:col>
                <xdr:colOff>657225</xdr:colOff>
                <xdr:row>1</xdr:row>
                <xdr:rowOff>161925</xdr:rowOff>
              </to>
            </anchor>
          </controlPr>
        </control>
      </mc:Choice>
      <mc:Fallback>
        <control shapeId="31747" r:id="rId12" name="CommandButton3"/>
      </mc:Fallback>
    </mc:AlternateContent>
    <mc:AlternateContent xmlns:mc="http://schemas.openxmlformats.org/markup-compatibility/2006">
      <mc:Choice Requires="x14">
        <control shapeId="31746" r:id="rId14" name="CommandButton2">
          <controlPr defaultSize="0" autoLine="0" r:id="rId15">
            <anchor moveWithCells="1">
              <from>
                <xdr:col>0</xdr:col>
                <xdr:colOff>714375</xdr:colOff>
                <xdr:row>0</xdr:row>
                <xdr:rowOff>352425</xdr:rowOff>
              </from>
              <to>
                <xdr:col>0</xdr:col>
                <xdr:colOff>1123950</xdr:colOff>
                <xdr:row>1</xdr:row>
                <xdr:rowOff>171450</xdr:rowOff>
              </to>
            </anchor>
          </controlPr>
        </control>
      </mc:Choice>
      <mc:Fallback>
        <control shapeId="31746" r:id="rId14" name="CommandButton2"/>
      </mc:Fallback>
    </mc:AlternateContent>
    <mc:AlternateContent xmlns:mc="http://schemas.openxmlformats.org/markup-compatibility/2006">
      <mc:Choice Requires="x14">
        <control shapeId="31745" r:id="rId16" name="CommandButton1">
          <controlPr defaultSize="0" autoLine="0" r:id="rId1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638175</xdr:colOff>
                <xdr:row>0</xdr:row>
                <xdr:rowOff>323850</xdr:rowOff>
              </to>
            </anchor>
          </controlPr>
        </control>
      </mc:Choice>
      <mc:Fallback>
        <control shapeId="31745" r:id="rId16" name="CommandButton1"/>
      </mc:Fallback>
    </mc:AlternateContent>
    <mc:AlternateContent xmlns:mc="http://schemas.openxmlformats.org/markup-compatibility/2006">
      <mc:Choice Requires="x14">
        <control shapeId="31750" r:id="rId18" name="CommandButton5">
          <controlPr defaultSize="0" autoLine="0" r:id="rId19">
            <anchor moveWithCells="1">
              <from>
                <xdr:col>0</xdr:col>
                <xdr:colOff>28575</xdr:colOff>
                <xdr:row>30</xdr:row>
                <xdr:rowOff>38100</xdr:rowOff>
              </from>
              <to>
                <xdr:col>0</xdr:col>
                <xdr:colOff>981075</xdr:colOff>
                <xdr:row>31</xdr:row>
                <xdr:rowOff>114300</xdr:rowOff>
              </to>
            </anchor>
          </controlPr>
        </control>
      </mc:Choice>
      <mc:Fallback>
        <control shapeId="31750" r:id="rId18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ColumnsRef</vt:lpstr>
      <vt:lpstr>Temp_Old</vt:lpstr>
      <vt:lpstr>Extractor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 LAM</cp:lastModifiedBy>
  <dcterms:created xsi:type="dcterms:W3CDTF">2021-08-13T06:33:02Z</dcterms:created>
  <dcterms:modified xsi:type="dcterms:W3CDTF">2022-10-23T23:48:22Z</dcterms:modified>
</cp:coreProperties>
</file>